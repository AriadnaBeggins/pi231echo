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b31c3fa00f716b/Документы/"/>
    </mc:Choice>
  </mc:AlternateContent>
  <xr:revisionPtr revIDLastSave="1" documentId="8_{585E8EA3-8E1A-4668-948C-0CDBB6DB37A2}" xr6:coauthVersionLast="47" xr6:coauthVersionMax="47" xr10:uidLastSave="{B9364EAC-4BB2-4B8D-8228-C4456DD38E61}"/>
  <bookViews>
    <workbookView xWindow="11040" yWindow="540" windowWidth="12060" windowHeight="11796" firstSheet="1" activeTab="1" xr2:uid="{82B4EF90-71D9-4EFA-BC40-7224B7ECA492}"/>
  </bookViews>
  <sheets>
    <sheet name="Лист1" sheetId="1" r:id="rId1"/>
    <sheet name="Лист2" sheetId="2" r:id="rId2"/>
    <sheet name="Лист3" sheetId="3" r:id="rId3"/>
  </sheet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3" i="2"/>
  <c r="D12" i="2"/>
  <c r="L9" i="2"/>
  <c r="E9" i="2"/>
  <c r="F9" i="2"/>
  <c r="G9" i="2"/>
  <c r="H9" i="2"/>
  <c r="I9" i="2"/>
  <c r="J9" i="2"/>
  <c r="K9" i="2"/>
  <c r="D9" i="2"/>
  <c r="E8" i="2"/>
  <c r="F8" i="2"/>
  <c r="G8" i="2"/>
  <c r="H8" i="2"/>
  <c r="I8" i="2"/>
  <c r="J8" i="2"/>
  <c r="K8" i="2"/>
  <c r="D8" i="2"/>
  <c r="L6" i="2"/>
  <c r="E7" i="2"/>
  <c r="F7" i="2"/>
  <c r="G7" i="2"/>
  <c r="H7" i="2"/>
  <c r="I7" i="2"/>
  <c r="J7" i="2"/>
  <c r="K7" i="2"/>
  <c r="D7" i="2"/>
  <c r="E15" i="2"/>
  <c r="E13" i="2"/>
  <c r="E12" i="2"/>
  <c r="D3" i="1" l="1"/>
</calcChain>
</file>

<file path=xl/sharedStrings.xml><?xml version="1.0" encoding="utf-8"?>
<sst xmlns="http://schemas.openxmlformats.org/spreadsheetml/2006/main" count="213" uniqueCount="26">
  <si>
    <t>L</t>
  </si>
  <si>
    <t>D</t>
  </si>
  <si>
    <t>M</t>
  </si>
  <si>
    <t>С</t>
  </si>
  <si>
    <t>Y</t>
  </si>
  <si>
    <t>альфа</t>
  </si>
  <si>
    <t>n</t>
  </si>
  <si>
    <t>буквы</t>
  </si>
  <si>
    <t>S^2</t>
  </si>
  <si>
    <t>R</t>
  </si>
  <si>
    <t>U</t>
  </si>
  <si>
    <t>P</t>
  </si>
  <si>
    <t>E</t>
  </si>
  <si>
    <t>V</t>
  </si>
  <si>
    <t>N</t>
  </si>
  <si>
    <t>Количество по полю буквы</t>
  </si>
  <si>
    <t>alpha</t>
  </si>
  <si>
    <t>k</t>
  </si>
  <si>
    <t>df</t>
  </si>
  <si>
    <t>ni</t>
  </si>
  <si>
    <t>pi</t>
  </si>
  <si>
    <t>npi</t>
  </si>
  <si>
    <t>(ni-npi)^2/npi</t>
  </si>
  <si>
    <t>хи2 набл</t>
  </si>
  <si>
    <t>хи2 крит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</si>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</sst>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0" fontId="0" fillId="0" borderId="1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[7 тест.xlsx]Лист3!Сводная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 полю буквы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Лист3!$A$4:$A$11</c:f>
              <c:strCache>
                <c:ptCount val="8"/>
                <c:pt idx="0">
                  <c:v>E</c:v>
                </c:pt>
                <c:pt idx="1">
                  <c:v>M</c:v>
                </c:pt>
                <c:pt idx="2">
                  <c:v>N</c:v>
                </c:pt>
                <c:pt idx="3">
                  <c:v>P</c:v>
                </c:pt>
                <c:pt idx="4">
                  <c:v>R</c:v>
                </c:pt>
                <c:pt idx="5">
                  <c:v>U</c:v>
                </c:pt>
                <c:pt idx="6">
                  <c:v>V</c:v>
                </c:pt>
                <c:pt idx="7">
                  <c:v>С</c:v>
                </c:pt>
              </c:strCache>
            </c:strRef>
          </c:cat>
          <c:val>
            <c:numRef>
              <c:f>Лист3!$B$4:$B$11</c:f>
              <c:numCache>
                <c:formatCode>General</c:formatCode>
                <c:ptCount val="8"/>
                <c:pt idx="0">
                  <c:v>15</c:v>
                </c:pt>
                <c:pt idx="1">
                  <c:v>13</c:v>
                </c:pt>
                <c:pt idx="2">
                  <c:v>22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6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5-491C-B15A-42AC04C46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368432"/>
        <c:axId val="986376112"/>
      </c:barChart>
      <c:catAx>
        <c:axId val="98636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376112"/>
        <c:crosses val="autoZero"/>
        <c:auto val="1"/>
        <c:lblAlgn val="ctr"/>
        <c:lblOffset val="100"/>
        <c:noMultiLvlLbl val="0"/>
      </c:catAx>
      <c:valAx>
        <c:axId val="9863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636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436504</xdr:colOff>
      <xdr:row>10</xdr:row>
      <xdr:rowOff>38100</xdr:rowOff>
    </xdr:from>
    <xdr:to>
      <xdr:col>9</xdr:col>
      <xdr:colOff>482471</xdr:colOff>
      <xdr:row>24</xdr:row>
      <xdr:rowOff>107733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BDA495-4992-15E0-369A-9AFEB3C7A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9444" y="1866900"/>
          <a:ext cx="1265167" cy="26299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2</xdr:row>
      <xdr:rowOff>26670</xdr:rowOff>
    </xdr:from>
    <xdr:to>
      <xdr:col>10</xdr:col>
      <xdr:colOff>137160</xdr:colOff>
      <xdr:row>17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435756-7546-5C1F-F25E-0EA62C481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риадна Малышкина" refreshedDate="45665.736882754631" createdVersion="8" refreshedVersion="8" minRefreshableVersion="3" recordCount="109" xr:uid="{34B78FD6-B2E5-4363-8627-D70293D9325D}">
  <cacheSource type="worksheet">
    <worksheetSource ref="A1:A110" sheet="Лист2"/>
  </cacheSource>
  <cacheFields count="1">
    <cacheField name="буквы" numFmtId="0">
      <sharedItems count="8">
        <s v="С"/>
        <s v="V"/>
        <s v="U"/>
        <s v="R"/>
        <s v="P"/>
        <s v="N"/>
        <s v="M"/>
        <s v="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443AA-6AEA-4983-8A84-BBB4063AC774}" name="Сводная таблица5" cacheId="14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1">
  <location ref="A3:B11" firstHeaderRow="1" firstDataRow="1" firstDataCol="1"/>
  <pivotFields count="1">
    <pivotField axis="axisRow" dataField="1" compact="0" outline="0" showAll="0" defaultSubtotal="0">
      <items count="8"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Количество по полю буквы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C637-D48B-451B-8CAB-801E79B1024E}">
  <dimension ref="A1:D80"/>
  <sheetViews>
    <sheetView workbookViewId="0">
      <selection activeCell="C6" sqref="C6"/>
    </sheetView>
  </sheetViews>
  <sheetFormatPr defaultRowHeight="14.4" x14ac:dyDescent="0.3"/>
  <cols>
    <col min="4" max="4" width="16.21875" customWidth="1"/>
  </cols>
  <sheetData>
    <row r="1" spans="1:4" x14ac:dyDescent="0.3">
      <c r="A1" t="s">
        <v>7</v>
      </c>
    </row>
    <row r="2" spans="1:4" x14ac:dyDescent="0.3">
      <c r="A2" t="s">
        <v>1</v>
      </c>
      <c r="C2" t="s">
        <v>5</v>
      </c>
      <c r="D2">
        <v>0.08</v>
      </c>
    </row>
    <row r="3" spans="1:4" x14ac:dyDescent="0.3">
      <c r="A3" t="s">
        <v>1</v>
      </c>
      <c r="C3" t="s">
        <v>6</v>
      </c>
      <c r="D3">
        <f>COUNTA(A:A)-1</f>
        <v>79</v>
      </c>
    </row>
    <row r="4" spans="1:4" x14ac:dyDescent="0.3">
      <c r="A4" t="s">
        <v>1</v>
      </c>
      <c r="C4" t="s">
        <v>8</v>
      </c>
    </row>
    <row r="5" spans="1:4" x14ac:dyDescent="0.3">
      <c r="A5" t="s">
        <v>1</v>
      </c>
    </row>
    <row r="6" spans="1:4" x14ac:dyDescent="0.3">
      <c r="A6" t="s">
        <v>1</v>
      </c>
    </row>
    <row r="7" spans="1:4" x14ac:dyDescent="0.3">
      <c r="A7" t="s">
        <v>1</v>
      </c>
    </row>
    <row r="8" spans="1:4" x14ac:dyDescent="0.3">
      <c r="A8" t="s">
        <v>1</v>
      </c>
    </row>
    <row r="9" spans="1:4" x14ac:dyDescent="0.3">
      <c r="A9" t="s">
        <v>1</v>
      </c>
    </row>
    <row r="10" spans="1:4" x14ac:dyDescent="0.3">
      <c r="A10" t="s">
        <v>1</v>
      </c>
    </row>
    <row r="11" spans="1:4" x14ac:dyDescent="0.3">
      <c r="A11" t="s">
        <v>1</v>
      </c>
    </row>
    <row r="12" spans="1:4" x14ac:dyDescent="0.3">
      <c r="A12" t="s">
        <v>1</v>
      </c>
    </row>
    <row r="13" spans="1:4" x14ac:dyDescent="0.3">
      <c r="A13" t="s">
        <v>1</v>
      </c>
    </row>
    <row r="14" spans="1:4" x14ac:dyDescent="0.3">
      <c r="A14" t="s">
        <v>1</v>
      </c>
    </row>
    <row r="15" spans="1:4" x14ac:dyDescent="0.3">
      <c r="A15" t="s">
        <v>1</v>
      </c>
    </row>
    <row r="16" spans="1:4" x14ac:dyDescent="0.3">
      <c r="A16" t="s">
        <v>1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0</v>
      </c>
    </row>
    <row r="36" spans="1:1" x14ac:dyDescent="0.3">
      <c r="A36" t="s">
        <v>2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2</v>
      </c>
    </row>
    <row r="41" spans="1:1" x14ac:dyDescent="0.3">
      <c r="A41" t="s">
        <v>2</v>
      </c>
    </row>
    <row r="42" spans="1:1" x14ac:dyDescent="0.3">
      <c r="A42" t="s">
        <v>2</v>
      </c>
    </row>
    <row r="43" spans="1:1" x14ac:dyDescent="0.3">
      <c r="A43" t="s">
        <v>2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4</v>
      </c>
    </row>
    <row r="47" spans="1:1" x14ac:dyDescent="0.3">
      <c r="A47" t="s">
        <v>4</v>
      </c>
    </row>
    <row r="48" spans="1:1" x14ac:dyDescent="0.3">
      <c r="A48" t="s">
        <v>4</v>
      </c>
    </row>
    <row r="49" spans="1:1" x14ac:dyDescent="0.3">
      <c r="A49" t="s">
        <v>4</v>
      </c>
    </row>
    <row r="50" spans="1:1" x14ac:dyDescent="0.3">
      <c r="A50" t="s">
        <v>4</v>
      </c>
    </row>
    <row r="51" spans="1:1" x14ac:dyDescent="0.3">
      <c r="A51" t="s">
        <v>4</v>
      </c>
    </row>
    <row r="52" spans="1:1" x14ac:dyDescent="0.3">
      <c r="A52" t="s">
        <v>4</v>
      </c>
    </row>
    <row r="53" spans="1:1" x14ac:dyDescent="0.3">
      <c r="A53" t="s">
        <v>4</v>
      </c>
    </row>
    <row r="54" spans="1:1" x14ac:dyDescent="0.3">
      <c r="A54" t="s">
        <v>4</v>
      </c>
    </row>
    <row r="55" spans="1:1" x14ac:dyDescent="0.3">
      <c r="A55" t="s">
        <v>4</v>
      </c>
    </row>
    <row r="56" spans="1:1" x14ac:dyDescent="0.3">
      <c r="A56" t="s">
        <v>4</v>
      </c>
    </row>
    <row r="57" spans="1:1" x14ac:dyDescent="0.3">
      <c r="A57" t="s">
        <v>4</v>
      </c>
    </row>
    <row r="58" spans="1:1" x14ac:dyDescent="0.3">
      <c r="A58" t="s">
        <v>4</v>
      </c>
    </row>
    <row r="59" spans="1:1" x14ac:dyDescent="0.3">
      <c r="A59" t="s">
        <v>3</v>
      </c>
    </row>
    <row r="60" spans="1:1" x14ac:dyDescent="0.3">
      <c r="A60" t="s">
        <v>3</v>
      </c>
    </row>
    <row r="61" spans="1:1" x14ac:dyDescent="0.3">
      <c r="A61" t="s">
        <v>3</v>
      </c>
    </row>
    <row r="62" spans="1:1" x14ac:dyDescent="0.3">
      <c r="A62" t="s">
        <v>3</v>
      </c>
    </row>
    <row r="63" spans="1:1" x14ac:dyDescent="0.3">
      <c r="A63" t="s">
        <v>3</v>
      </c>
    </row>
    <row r="64" spans="1:1" x14ac:dyDescent="0.3">
      <c r="A64" t="s">
        <v>3</v>
      </c>
    </row>
    <row r="65" spans="1:1" x14ac:dyDescent="0.3">
      <c r="A65" t="s">
        <v>3</v>
      </c>
    </row>
    <row r="66" spans="1:1" x14ac:dyDescent="0.3">
      <c r="A66" t="s">
        <v>3</v>
      </c>
    </row>
    <row r="67" spans="1:1" x14ac:dyDescent="0.3">
      <c r="A67" t="s">
        <v>3</v>
      </c>
    </row>
    <row r="68" spans="1:1" x14ac:dyDescent="0.3">
      <c r="A68" t="s">
        <v>3</v>
      </c>
    </row>
    <row r="69" spans="1:1" x14ac:dyDescent="0.3">
      <c r="A69" t="s">
        <v>3</v>
      </c>
    </row>
    <row r="70" spans="1:1" x14ac:dyDescent="0.3">
      <c r="A70" t="s">
        <v>3</v>
      </c>
    </row>
    <row r="71" spans="1:1" x14ac:dyDescent="0.3">
      <c r="A71" t="s">
        <v>3</v>
      </c>
    </row>
    <row r="72" spans="1:1" x14ac:dyDescent="0.3">
      <c r="A72" t="s">
        <v>3</v>
      </c>
    </row>
    <row r="73" spans="1:1" x14ac:dyDescent="0.3">
      <c r="A73" t="s">
        <v>3</v>
      </c>
    </row>
    <row r="74" spans="1:1" x14ac:dyDescent="0.3">
      <c r="A74" t="s">
        <v>3</v>
      </c>
    </row>
    <row r="75" spans="1:1" x14ac:dyDescent="0.3">
      <c r="A75" t="s">
        <v>3</v>
      </c>
    </row>
    <row r="76" spans="1:1" x14ac:dyDescent="0.3">
      <c r="A76" t="s">
        <v>3</v>
      </c>
    </row>
    <row r="77" spans="1:1" x14ac:dyDescent="0.3">
      <c r="A77" t="s">
        <v>3</v>
      </c>
    </row>
    <row r="78" spans="1:1" x14ac:dyDescent="0.3">
      <c r="A78" t="s">
        <v>3</v>
      </c>
    </row>
    <row r="79" spans="1:1" x14ac:dyDescent="0.3">
      <c r="A79" t="s">
        <v>3</v>
      </c>
    </row>
    <row r="80" spans="1:1" x14ac:dyDescent="0.3">
      <c r="A80" t="s">
        <v>3</v>
      </c>
    </row>
  </sheetData>
  <sortState xmlns:xlrd2="http://schemas.microsoft.com/office/spreadsheetml/2017/richdata2" ref="A2:A16366">
    <sortCondition ref="A2:A163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A8CB-F9D2-424E-A1E7-EF2E92871CCA}">
  <dimension ref="A1:L110"/>
  <sheetViews>
    <sheetView tabSelected="1" workbookViewId="0">
      <selection activeCell="D17" sqref="D17"/>
    </sheetView>
  </sheetViews>
  <sheetFormatPr defaultRowHeight="14.4" x14ac:dyDescent="0.3"/>
  <cols>
    <col min="3" max="3" width="11.88671875" bestFit="1" customWidth="1"/>
  </cols>
  <sheetData>
    <row r="1" spans="1:12" x14ac:dyDescent="0.3">
      <c r="A1" t="s">
        <v>7</v>
      </c>
    </row>
    <row r="2" spans="1:12" x14ac:dyDescent="0.3">
      <c r="A2" t="s">
        <v>3</v>
      </c>
      <c r="C2" t="s">
        <v>16</v>
      </c>
      <c r="D2">
        <v>0.02</v>
      </c>
    </row>
    <row r="3" spans="1:12" x14ac:dyDescent="0.3">
      <c r="A3" t="s">
        <v>3</v>
      </c>
      <c r="C3" t="s">
        <v>17</v>
      </c>
      <c r="D3">
        <v>8</v>
      </c>
    </row>
    <row r="4" spans="1:12" x14ac:dyDescent="0.3">
      <c r="A4" t="s">
        <v>3</v>
      </c>
      <c r="C4" t="s">
        <v>18</v>
      </c>
      <c r="D4">
        <v>7</v>
      </c>
    </row>
    <row r="5" spans="1:12" x14ac:dyDescent="0.3">
      <c r="A5" t="s">
        <v>3</v>
      </c>
    </row>
    <row r="6" spans="1:12" x14ac:dyDescent="0.3">
      <c r="A6" t="s">
        <v>3</v>
      </c>
      <c r="C6" s="3" t="s">
        <v>19</v>
      </c>
      <c r="D6" s="4">
        <v>15</v>
      </c>
      <c r="E6" s="4">
        <v>13</v>
      </c>
      <c r="F6" s="4">
        <v>22</v>
      </c>
      <c r="G6" s="4">
        <v>9</v>
      </c>
      <c r="H6" s="4">
        <v>13</v>
      </c>
      <c r="I6" s="4">
        <v>14</v>
      </c>
      <c r="J6" s="4">
        <v>6</v>
      </c>
      <c r="K6" s="4">
        <v>17</v>
      </c>
      <c r="L6">
        <f>SUM(D6:K6)</f>
        <v>109</v>
      </c>
    </row>
    <row r="7" spans="1:12" x14ac:dyDescent="0.3">
      <c r="A7" t="s">
        <v>3</v>
      </c>
      <c r="C7" s="3" t="s">
        <v>20</v>
      </c>
      <c r="D7" s="3">
        <f>1/8</f>
        <v>0.125</v>
      </c>
      <c r="E7" s="3">
        <f t="shared" ref="E7:K7" si="0">1/8</f>
        <v>0.125</v>
      </c>
      <c r="F7" s="3">
        <f t="shared" si="0"/>
        <v>0.125</v>
      </c>
      <c r="G7" s="3">
        <f t="shared" si="0"/>
        <v>0.125</v>
      </c>
      <c r="H7" s="3">
        <f t="shared" si="0"/>
        <v>0.125</v>
      </c>
      <c r="I7" s="3">
        <f t="shared" si="0"/>
        <v>0.125</v>
      </c>
      <c r="J7" s="3">
        <f t="shared" si="0"/>
        <v>0.125</v>
      </c>
      <c r="K7" s="3">
        <f t="shared" si="0"/>
        <v>0.125</v>
      </c>
    </row>
    <row r="8" spans="1:12" x14ac:dyDescent="0.3">
      <c r="A8" t="s">
        <v>3</v>
      </c>
      <c r="C8" s="3" t="s">
        <v>21</v>
      </c>
      <c r="D8" s="3">
        <f>$L$6*D7</f>
        <v>13.625</v>
      </c>
      <c r="E8" s="3">
        <f t="shared" ref="E8:K8" si="1">$L$6*E7</f>
        <v>13.625</v>
      </c>
      <c r="F8" s="3">
        <f t="shared" si="1"/>
        <v>13.625</v>
      </c>
      <c r="G8" s="3">
        <f t="shared" si="1"/>
        <v>13.625</v>
      </c>
      <c r="H8" s="3">
        <f t="shared" si="1"/>
        <v>13.625</v>
      </c>
      <c r="I8" s="3">
        <f t="shared" si="1"/>
        <v>13.625</v>
      </c>
      <c r="J8" s="3">
        <f t="shared" si="1"/>
        <v>13.625</v>
      </c>
      <c r="K8" s="3">
        <f t="shared" si="1"/>
        <v>13.625</v>
      </c>
    </row>
    <row r="9" spans="1:12" x14ac:dyDescent="0.3">
      <c r="A9" t="s">
        <v>3</v>
      </c>
      <c r="C9" s="5" t="s">
        <v>22</v>
      </c>
      <c r="D9" s="3">
        <f>(D6-D8)^2/D8</f>
        <v>0.13876146788990826</v>
      </c>
      <c r="E9" s="3">
        <f t="shared" ref="E9:K9" si="2">(E6-E8)^2/E8</f>
        <v>2.8669724770642203E-2</v>
      </c>
      <c r="F9" s="3">
        <f t="shared" si="2"/>
        <v>5.147935779816514</v>
      </c>
      <c r="G9" s="3">
        <f t="shared" si="2"/>
        <v>1.5699541284403671</v>
      </c>
      <c r="H9" s="3">
        <f t="shared" si="2"/>
        <v>2.8669724770642203E-2</v>
      </c>
      <c r="I9" s="3">
        <f t="shared" si="2"/>
        <v>1.0321100917431193E-2</v>
      </c>
      <c r="J9" s="3">
        <f t="shared" si="2"/>
        <v>4.2672018348623855</v>
      </c>
      <c r="K9" s="3">
        <f t="shared" si="2"/>
        <v>0.83600917431192656</v>
      </c>
      <c r="L9" s="6">
        <f>SUM(D9:K9)</f>
        <v>12.027522935779817</v>
      </c>
    </row>
    <row r="10" spans="1:12" x14ac:dyDescent="0.3">
      <c r="A10" t="s">
        <v>3</v>
      </c>
    </row>
    <row r="11" spans="1:12" x14ac:dyDescent="0.3">
      <c r="A11" t="s">
        <v>3</v>
      </c>
    </row>
    <row r="12" spans="1:12" x14ac:dyDescent="0.3">
      <c r="A12" t="s">
        <v>3</v>
      </c>
      <c r="C12" t="s">
        <v>23</v>
      </c>
      <c r="D12">
        <f>L9</f>
        <v>12.027522935779817</v>
      </c>
      <c r="E12" t="str">
        <f ca="1">_xlfn.FORMULATEXT(D12)</f>
        <v>=L9</v>
      </c>
    </row>
    <row r="13" spans="1:12" x14ac:dyDescent="0.3">
      <c r="A13" t="s">
        <v>3</v>
      </c>
      <c r="C13" t="s">
        <v>24</v>
      </c>
      <c r="D13">
        <f>_xlfn.CHISQ.INV(1-D2,D4)</f>
        <v>16.62242187111087</v>
      </c>
      <c r="E13" t="str">
        <f ca="1">_xlfn.FORMULATEXT(D13)</f>
        <v>=ХИ2.ОБР(1-D2;D4)</v>
      </c>
    </row>
    <row r="14" spans="1:12" x14ac:dyDescent="0.3">
      <c r="A14" t="s">
        <v>3</v>
      </c>
    </row>
    <row r="15" spans="1:12" x14ac:dyDescent="0.3">
      <c r="A15" t="s">
        <v>3</v>
      </c>
      <c r="C15" t="s">
        <v>25</v>
      </c>
      <c r="D15">
        <f>_xlfn.CHISQ.TEST(D6:K6,D8:K8)</f>
        <v>9.9657386943368273E-2</v>
      </c>
      <c r="E15" t="str">
        <f ca="1">_xlfn.FORMULATEXT(D15)</f>
        <v>=ХИ2.ТЕСТ(D6:K6;D8:K8)</v>
      </c>
    </row>
    <row r="16" spans="1:12" x14ac:dyDescent="0.3">
      <c r="A16" t="s">
        <v>3</v>
      </c>
    </row>
    <row r="17" spans="1:1" x14ac:dyDescent="0.3">
      <c r="A17" t="s">
        <v>3</v>
      </c>
    </row>
    <row r="18" spans="1:1" x14ac:dyDescent="0.3">
      <c r="A18" t="s">
        <v>3</v>
      </c>
    </row>
    <row r="19" spans="1:1" x14ac:dyDescent="0.3">
      <c r="A19" t="s">
        <v>13</v>
      </c>
    </row>
    <row r="20" spans="1:1" x14ac:dyDescent="0.3">
      <c r="A20" t="s">
        <v>13</v>
      </c>
    </row>
    <row r="21" spans="1:1" x14ac:dyDescent="0.3">
      <c r="A21" t="s">
        <v>13</v>
      </c>
    </row>
    <row r="22" spans="1:1" x14ac:dyDescent="0.3">
      <c r="A22" t="s">
        <v>13</v>
      </c>
    </row>
    <row r="23" spans="1:1" x14ac:dyDescent="0.3">
      <c r="A23" t="s">
        <v>13</v>
      </c>
    </row>
    <row r="24" spans="1:1" x14ac:dyDescent="0.3">
      <c r="A24" t="s">
        <v>13</v>
      </c>
    </row>
    <row r="25" spans="1:1" x14ac:dyDescent="0.3">
      <c r="A25" t="s">
        <v>10</v>
      </c>
    </row>
    <row r="26" spans="1:1" x14ac:dyDescent="0.3">
      <c r="A26" t="s">
        <v>10</v>
      </c>
    </row>
    <row r="27" spans="1:1" x14ac:dyDescent="0.3">
      <c r="A27" t="s">
        <v>10</v>
      </c>
    </row>
    <row r="28" spans="1:1" x14ac:dyDescent="0.3">
      <c r="A28" t="s">
        <v>10</v>
      </c>
    </row>
    <row r="29" spans="1:1" x14ac:dyDescent="0.3">
      <c r="A29" t="s">
        <v>10</v>
      </c>
    </row>
    <row r="30" spans="1:1" x14ac:dyDescent="0.3">
      <c r="A30" t="s">
        <v>10</v>
      </c>
    </row>
    <row r="31" spans="1:1" x14ac:dyDescent="0.3">
      <c r="A31" t="s">
        <v>10</v>
      </c>
    </row>
    <row r="32" spans="1:1" x14ac:dyDescent="0.3">
      <c r="A32" t="s">
        <v>10</v>
      </c>
    </row>
    <row r="33" spans="1:1" x14ac:dyDescent="0.3">
      <c r="A33" t="s">
        <v>10</v>
      </c>
    </row>
    <row r="34" spans="1:1" x14ac:dyDescent="0.3">
      <c r="A34" t="s">
        <v>10</v>
      </c>
    </row>
    <row r="35" spans="1:1" x14ac:dyDescent="0.3">
      <c r="A35" t="s">
        <v>10</v>
      </c>
    </row>
    <row r="36" spans="1:1" x14ac:dyDescent="0.3">
      <c r="A36" t="s">
        <v>10</v>
      </c>
    </row>
    <row r="37" spans="1:1" x14ac:dyDescent="0.3">
      <c r="A37" t="s">
        <v>10</v>
      </c>
    </row>
    <row r="38" spans="1:1" x14ac:dyDescent="0.3">
      <c r="A38" t="s">
        <v>10</v>
      </c>
    </row>
    <row r="39" spans="1:1" x14ac:dyDescent="0.3">
      <c r="A39" t="s">
        <v>9</v>
      </c>
    </row>
    <row r="40" spans="1:1" x14ac:dyDescent="0.3">
      <c r="A40" t="s">
        <v>9</v>
      </c>
    </row>
    <row r="41" spans="1:1" x14ac:dyDescent="0.3">
      <c r="A41" t="s">
        <v>9</v>
      </c>
    </row>
    <row r="42" spans="1:1" x14ac:dyDescent="0.3">
      <c r="A42" t="s">
        <v>9</v>
      </c>
    </row>
    <row r="43" spans="1:1" x14ac:dyDescent="0.3">
      <c r="A43" t="s">
        <v>9</v>
      </c>
    </row>
    <row r="44" spans="1:1" x14ac:dyDescent="0.3">
      <c r="A44" t="s">
        <v>9</v>
      </c>
    </row>
    <row r="45" spans="1:1" x14ac:dyDescent="0.3">
      <c r="A45" t="s">
        <v>9</v>
      </c>
    </row>
    <row r="46" spans="1:1" x14ac:dyDescent="0.3">
      <c r="A46" t="s">
        <v>9</v>
      </c>
    </row>
    <row r="47" spans="1:1" x14ac:dyDescent="0.3">
      <c r="A47" t="s">
        <v>9</v>
      </c>
    </row>
    <row r="48" spans="1:1" x14ac:dyDescent="0.3">
      <c r="A48" t="s">
        <v>9</v>
      </c>
    </row>
    <row r="49" spans="1:1" x14ac:dyDescent="0.3">
      <c r="A49" t="s">
        <v>9</v>
      </c>
    </row>
    <row r="50" spans="1:1" x14ac:dyDescent="0.3">
      <c r="A50" t="s">
        <v>9</v>
      </c>
    </row>
    <row r="51" spans="1:1" x14ac:dyDescent="0.3">
      <c r="A51" t="s">
        <v>9</v>
      </c>
    </row>
    <row r="52" spans="1:1" x14ac:dyDescent="0.3">
      <c r="A52" t="s">
        <v>11</v>
      </c>
    </row>
    <row r="53" spans="1:1" x14ac:dyDescent="0.3">
      <c r="A53" t="s">
        <v>11</v>
      </c>
    </row>
    <row r="54" spans="1:1" x14ac:dyDescent="0.3">
      <c r="A54" t="s">
        <v>11</v>
      </c>
    </row>
    <row r="55" spans="1:1" x14ac:dyDescent="0.3">
      <c r="A55" t="s">
        <v>11</v>
      </c>
    </row>
    <row r="56" spans="1:1" x14ac:dyDescent="0.3">
      <c r="A56" t="s">
        <v>11</v>
      </c>
    </row>
    <row r="57" spans="1:1" x14ac:dyDescent="0.3">
      <c r="A57" t="s">
        <v>11</v>
      </c>
    </row>
    <row r="58" spans="1:1" x14ac:dyDescent="0.3">
      <c r="A58" t="s">
        <v>11</v>
      </c>
    </row>
    <row r="59" spans="1:1" x14ac:dyDescent="0.3">
      <c r="A59" t="s">
        <v>11</v>
      </c>
    </row>
    <row r="60" spans="1:1" x14ac:dyDescent="0.3">
      <c r="A60" t="s">
        <v>11</v>
      </c>
    </row>
    <row r="61" spans="1:1" x14ac:dyDescent="0.3">
      <c r="A61" t="s">
        <v>14</v>
      </c>
    </row>
    <row r="62" spans="1:1" x14ac:dyDescent="0.3">
      <c r="A62" t="s">
        <v>14</v>
      </c>
    </row>
    <row r="63" spans="1:1" x14ac:dyDescent="0.3">
      <c r="A63" t="s">
        <v>14</v>
      </c>
    </row>
    <row r="64" spans="1:1" x14ac:dyDescent="0.3">
      <c r="A64" t="s">
        <v>14</v>
      </c>
    </row>
    <row r="65" spans="1:1" x14ac:dyDescent="0.3">
      <c r="A65" t="s">
        <v>14</v>
      </c>
    </row>
    <row r="66" spans="1:1" x14ac:dyDescent="0.3">
      <c r="A66" t="s">
        <v>14</v>
      </c>
    </row>
    <row r="67" spans="1:1" x14ac:dyDescent="0.3">
      <c r="A67" t="s">
        <v>14</v>
      </c>
    </row>
    <row r="68" spans="1:1" x14ac:dyDescent="0.3">
      <c r="A68" t="s">
        <v>14</v>
      </c>
    </row>
    <row r="69" spans="1:1" x14ac:dyDescent="0.3">
      <c r="A69" t="s">
        <v>14</v>
      </c>
    </row>
    <row r="70" spans="1:1" x14ac:dyDescent="0.3">
      <c r="A70" t="s">
        <v>14</v>
      </c>
    </row>
    <row r="71" spans="1:1" x14ac:dyDescent="0.3">
      <c r="A71" t="s">
        <v>14</v>
      </c>
    </row>
    <row r="72" spans="1:1" x14ac:dyDescent="0.3">
      <c r="A72" t="s">
        <v>14</v>
      </c>
    </row>
    <row r="73" spans="1:1" x14ac:dyDescent="0.3">
      <c r="A73" t="s">
        <v>14</v>
      </c>
    </row>
    <row r="74" spans="1:1" x14ac:dyDescent="0.3">
      <c r="A74" t="s">
        <v>14</v>
      </c>
    </row>
    <row r="75" spans="1:1" x14ac:dyDescent="0.3">
      <c r="A75" t="s">
        <v>14</v>
      </c>
    </row>
    <row r="76" spans="1:1" x14ac:dyDescent="0.3">
      <c r="A76" t="s">
        <v>14</v>
      </c>
    </row>
    <row r="77" spans="1:1" x14ac:dyDescent="0.3">
      <c r="A77" t="s">
        <v>14</v>
      </c>
    </row>
    <row r="78" spans="1:1" x14ac:dyDescent="0.3">
      <c r="A78" t="s">
        <v>14</v>
      </c>
    </row>
    <row r="79" spans="1:1" x14ac:dyDescent="0.3">
      <c r="A79" t="s">
        <v>14</v>
      </c>
    </row>
    <row r="80" spans="1:1" x14ac:dyDescent="0.3">
      <c r="A80" t="s">
        <v>14</v>
      </c>
    </row>
    <row r="81" spans="1:1" x14ac:dyDescent="0.3">
      <c r="A81" t="s">
        <v>14</v>
      </c>
    </row>
    <row r="82" spans="1:1" x14ac:dyDescent="0.3">
      <c r="A82" t="s">
        <v>14</v>
      </c>
    </row>
    <row r="83" spans="1:1" x14ac:dyDescent="0.3">
      <c r="A83" t="s">
        <v>2</v>
      </c>
    </row>
    <row r="84" spans="1:1" x14ac:dyDescent="0.3">
      <c r="A84" t="s">
        <v>2</v>
      </c>
    </row>
    <row r="85" spans="1:1" x14ac:dyDescent="0.3">
      <c r="A85" t="s">
        <v>2</v>
      </c>
    </row>
    <row r="86" spans="1:1" x14ac:dyDescent="0.3">
      <c r="A86" t="s">
        <v>2</v>
      </c>
    </row>
    <row r="87" spans="1:1" x14ac:dyDescent="0.3">
      <c r="A87" t="s">
        <v>2</v>
      </c>
    </row>
    <row r="88" spans="1:1" x14ac:dyDescent="0.3">
      <c r="A88" t="s">
        <v>2</v>
      </c>
    </row>
    <row r="89" spans="1:1" x14ac:dyDescent="0.3">
      <c r="A89" t="s">
        <v>2</v>
      </c>
    </row>
    <row r="90" spans="1:1" x14ac:dyDescent="0.3">
      <c r="A90" t="s">
        <v>2</v>
      </c>
    </row>
    <row r="91" spans="1:1" x14ac:dyDescent="0.3">
      <c r="A91" t="s">
        <v>2</v>
      </c>
    </row>
    <row r="92" spans="1:1" x14ac:dyDescent="0.3">
      <c r="A92" t="s">
        <v>2</v>
      </c>
    </row>
    <row r="93" spans="1:1" x14ac:dyDescent="0.3">
      <c r="A93" t="s">
        <v>2</v>
      </c>
    </row>
    <row r="94" spans="1:1" x14ac:dyDescent="0.3">
      <c r="A94" t="s">
        <v>2</v>
      </c>
    </row>
    <row r="95" spans="1:1" x14ac:dyDescent="0.3">
      <c r="A95" t="s">
        <v>2</v>
      </c>
    </row>
    <row r="96" spans="1:1" x14ac:dyDescent="0.3">
      <c r="A96" t="s">
        <v>12</v>
      </c>
    </row>
    <row r="97" spans="1:1" x14ac:dyDescent="0.3">
      <c r="A97" t="s">
        <v>12</v>
      </c>
    </row>
    <row r="98" spans="1:1" x14ac:dyDescent="0.3">
      <c r="A98" t="s">
        <v>12</v>
      </c>
    </row>
    <row r="99" spans="1:1" x14ac:dyDescent="0.3">
      <c r="A99" t="s">
        <v>12</v>
      </c>
    </row>
    <row r="100" spans="1:1" x14ac:dyDescent="0.3">
      <c r="A100" t="s">
        <v>12</v>
      </c>
    </row>
    <row r="101" spans="1:1" x14ac:dyDescent="0.3">
      <c r="A101" t="s">
        <v>12</v>
      </c>
    </row>
    <row r="102" spans="1:1" x14ac:dyDescent="0.3">
      <c r="A102" t="s">
        <v>12</v>
      </c>
    </row>
    <row r="103" spans="1:1" x14ac:dyDescent="0.3">
      <c r="A103" t="s">
        <v>12</v>
      </c>
    </row>
    <row r="104" spans="1:1" x14ac:dyDescent="0.3">
      <c r="A104" t="s">
        <v>12</v>
      </c>
    </row>
    <row r="105" spans="1:1" x14ac:dyDescent="0.3">
      <c r="A105" t="s">
        <v>12</v>
      </c>
    </row>
    <row r="106" spans="1:1" x14ac:dyDescent="0.3">
      <c r="A106" t="s">
        <v>12</v>
      </c>
    </row>
    <row r="107" spans="1:1" x14ac:dyDescent="0.3">
      <c r="A107" t="s">
        <v>12</v>
      </c>
    </row>
    <row r="108" spans="1:1" x14ac:dyDescent="0.3">
      <c r="A108" t="s">
        <v>12</v>
      </c>
    </row>
    <row r="109" spans="1:1" x14ac:dyDescent="0.3">
      <c r="A109" t="s">
        <v>12</v>
      </c>
    </row>
    <row r="110" spans="1:1" x14ac:dyDescent="0.3">
      <c r="A110" t="s">
        <v>12</v>
      </c>
    </row>
  </sheetData>
  <sortState xmlns:xlrd2="http://schemas.microsoft.com/office/spreadsheetml/2017/richdata2" ref="A2:A16370">
    <sortCondition descending="1" ref="A2:A1637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191F-2D98-498F-B298-5AA49B943829}">
  <dimension ref="A3:B11"/>
  <sheetViews>
    <sheetView workbookViewId="0">
      <selection activeCell="B19" sqref="B19"/>
    </sheetView>
  </sheetViews>
  <sheetFormatPr defaultRowHeight="14.4" x14ac:dyDescent="0.3"/>
  <cols>
    <col min="1" max="1" width="8.77734375" bestFit="1" customWidth="1"/>
    <col min="2" max="2" width="25.44140625" bestFit="1" customWidth="1"/>
  </cols>
  <sheetData>
    <row r="3" spans="1:2" x14ac:dyDescent="0.3">
      <c r="A3" s="1" t="s">
        <v>7</v>
      </c>
      <c r="B3" t="s">
        <v>15</v>
      </c>
    </row>
    <row r="4" spans="1:2" x14ac:dyDescent="0.3">
      <c r="A4" t="s">
        <v>12</v>
      </c>
      <c r="B4" s="2">
        <v>15</v>
      </c>
    </row>
    <row r="5" spans="1:2" x14ac:dyDescent="0.3">
      <c r="A5" t="s">
        <v>2</v>
      </c>
      <c r="B5" s="2">
        <v>13</v>
      </c>
    </row>
    <row r="6" spans="1:2" x14ac:dyDescent="0.3">
      <c r="A6" t="s">
        <v>14</v>
      </c>
      <c r="B6" s="2">
        <v>22</v>
      </c>
    </row>
    <row r="7" spans="1:2" x14ac:dyDescent="0.3">
      <c r="A7" t="s">
        <v>11</v>
      </c>
      <c r="B7" s="2">
        <v>9</v>
      </c>
    </row>
    <row r="8" spans="1:2" x14ac:dyDescent="0.3">
      <c r="A8" t="s">
        <v>9</v>
      </c>
      <c r="B8" s="2">
        <v>13</v>
      </c>
    </row>
    <row r="9" spans="1:2" x14ac:dyDescent="0.3">
      <c r="A9" t="s">
        <v>10</v>
      </c>
      <c r="B9" s="2">
        <v>14</v>
      </c>
    </row>
    <row r="10" spans="1:2" x14ac:dyDescent="0.3">
      <c r="A10" t="s">
        <v>13</v>
      </c>
      <c r="B10" s="2">
        <v>6</v>
      </c>
    </row>
    <row r="11" spans="1:2" x14ac:dyDescent="0.3">
      <c r="A11" t="s">
        <v>3</v>
      </c>
      <c r="B11" s="2">
        <v>17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Ариадна Малышкина</dc:creator>
  <cp:lastModifiedBy>Ариадна Малышкина</cp:lastModifiedBy>
  <dcterms:created xsi:type="dcterms:W3CDTF">2025-01-08T11:39:52Z</dcterms:created>
  <dcterms:modified xsi:type="dcterms:W3CDTF">2025-01-08T14:38:09Z</dcterms:modified>
</cp:coreProperties>
</file>